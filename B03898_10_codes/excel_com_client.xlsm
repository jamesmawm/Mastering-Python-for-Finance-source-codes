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2" windowWidth="15300" windowHeight="8976" tabRatio="48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B12" i="1"/>
  <c r="C12"/>
  <c r="C13"/>
  <c r="C14"/>
  <c r="B13"/>
  <c r="B14"/>
</calcChain>
</file>

<file path=xl/sharedStrings.xml><?xml version="1.0" encoding="utf-8"?>
<sst xmlns="http://schemas.openxmlformats.org/spreadsheetml/2006/main" count="15" uniqueCount="15">
  <si>
    <t>S0</t>
  </si>
  <si>
    <t>K</t>
  </si>
  <si>
    <t>r</t>
  </si>
  <si>
    <t>T</t>
  </si>
  <si>
    <t>N</t>
  </si>
  <si>
    <t>Dividend</t>
  </si>
  <si>
    <t>sigma</t>
  </si>
  <si>
    <t>Trinomial Lattice</t>
  </si>
  <si>
    <t>Binomial Tree CRR</t>
  </si>
  <si>
    <t>Is call option?</t>
  </si>
  <si>
    <t>Parameters</t>
  </si>
  <si>
    <t>Call</t>
  </si>
  <si>
    <t>Put</t>
  </si>
  <si>
    <t>Value</t>
  </si>
  <si>
    <t>Black-Scholes</t>
  </si>
</sst>
</file>

<file path=xl/styles.xml><?xml version="1.0" encoding="utf-8"?>
<styleSheet xmlns="http://schemas.openxmlformats.org/spreadsheetml/2006/main">
  <numFmts count="3">
    <numFmt numFmtId="164" formatCode="0.00000"/>
    <numFmt numFmtId="165" formatCode="0.000000000000"/>
    <numFmt numFmtId="166" formatCode="0.0000"/>
  </numFmts>
  <fonts count="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1" fillId="2" borderId="0" xfId="0" applyFont="1" applyFill="1"/>
    <xf numFmtId="0" fontId="2" fillId="0" borderId="5" xfId="0" applyFont="1" applyBorder="1"/>
    <xf numFmtId="166" fontId="0" fillId="0" borderId="0" xfId="0" applyNumberFormat="1" applyBorder="1"/>
    <xf numFmtId="0" fontId="2" fillId="0" borderId="7" xfId="0" applyFont="1" applyBorder="1"/>
    <xf numFmtId="166" fontId="0" fillId="0" borderId="8" xfId="0" applyNumberFormat="1" applyBorder="1"/>
    <xf numFmtId="166" fontId="0" fillId="0" borderId="3" xfId="0" applyNumberForma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2" fontId="0" fillId="0" borderId="6" xfId="0" applyNumberFormat="1" applyBorder="1"/>
    <xf numFmtId="0" fontId="0" fillId="0" borderId="6" xfId="0" applyBorder="1"/>
    <xf numFmtId="2" fontId="0" fillId="0" borderId="9" xfId="0" applyNumberFormat="1" applyBorder="1"/>
    <xf numFmtId="0" fontId="3" fillId="2" borderId="2" xfId="0" applyFont="1" applyFill="1" applyBorder="1"/>
    <xf numFmtId="0" fontId="3" fillId="2" borderId="4" xfId="0" applyFont="1" applyFill="1" applyBorder="1"/>
    <xf numFmtId="166" fontId="0" fillId="0" borderId="4" xfId="0" applyNumberFormat="1" applyBorder="1"/>
    <xf numFmtId="166" fontId="0" fillId="0" borderId="6" xfId="0" applyNumberFormat="1" applyBorder="1"/>
    <xf numFmtId="166" fontId="0" fillId="0" borderId="9" xfId="0" applyNumberFormat="1" applyBorder="1"/>
    <xf numFmtId="0" fontId="0" fillId="0" borderId="1" xfId="0" applyFont="1" applyBorder="1"/>
    <xf numFmtId="0" fontId="0" fillId="0" borderId="13" xfId="0" applyFont="1" applyBorder="1"/>
    <xf numFmtId="0" fontId="0" fillId="0" borderId="14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5"/>
  <sheetViews>
    <sheetView tabSelected="1" zoomScale="120" zoomScaleNormal="120" workbookViewId="0">
      <selection activeCell="B7" sqref="B7"/>
    </sheetView>
  </sheetViews>
  <sheetFormatPr defaultRowHeight="14.4"/>
  <cols>
    <col min="1" max="1" width="15.88671875" customWidth="1"/>
    <col min="2" max="2" width="8.109375" bestFit="1" customWidth="1"/>
    <col min="3" max="3" width="8.33203125" customWidth="1"/>
  </cols>
  <sheetData>
    <row r="1" spans="1:6">
      <c r="A1" s="15" t="s">
        <v>10</v>
      </c>
      <c r="B1" s="16" t="s">
        <v>13</v>
      </c>
    </row>
    <row r="2" spans="1:6">
      <c r="A2" s="4" t="s">
        <v>0</v>
      </c>
      <c r="B2" s="12">
        <v>50</v>
      </c>
    </row>
    <row r="3" spans="1:6">
      <c r="A3" s="4" t="s">
        <v>1</v>
      </c>
      <c r="B3" s="12">
        <v>50</v>
      </c>
    </row>
    <row r="4" spans="1:6">
      <c r="A4" s="4" t="s">
        <v>2</v>
      </c>
      <c r="B4" s="13">
        <v>0.05</v>
      </c>
    </row>
    <row r="5" spans="1:6">
      <c r="A5" s="4" t="s">
        <v>3</v>
      </c>
      <c r="B5" s="13">
        <v>0.5</v>
      </c>
    </row>
    <row r="6" spans="1:6">
      <c r="A6" s="4" t="s">
        <v>4</v>
      </c>
      <c r="B6" s="13">
        <v>2</v>
      </c>
    </row>
    <row r="7" spans="1:6">
      <c r="A7" s="4" t="s">
        <v>6</v>
      </c>
      <c r="B7" s="13">
        <v>0.5</v>
      </c>
    </row>
    <row r="8" spans="1:6">
      <c r="A8" s="6" t="s">
        <v>5</v>
      </c>
      <c r="B8" s="14">
        <v>0</v>
      </c>
    </row>
    <row r="10" spans="1:6">
      <c r="B10" s="3" t="s">
        <v>11</v>
      </c>
      <c r="C10" s="3" t="s">
        <v>12</v>
      </c>
    </row>
    <row r="11" spans="1:6">
      <c r="A11" s="20" t="s">
        <v>9</v>
      </c>
      <c r="B11" s="21" t="b">
        <v>1</v>
      </c>
      <c r="C11" s="22" t="b">
        <v>0</v>
      </c>
    </row>
    <row r="12" spans="1:6">
      <c r="A12" s="9" t="s">
        <v>14</v>
      </c>
      <c r="B12" s="8">
        <f>BlackScholesOptionPrice(B2,B3,B4,B5,B7,B8,B11)</f>
        <v>7.5635870005868853</v>
      </c>
      <c r="C12" s="17">
        <f>BlackScholesOptionPrice(B2,B3,B4,B5,B7,B8,C11)</f>
        <v>6.3290826020035134</v>
      </c>
      <c r="D12" s="1"/>
    </row>
    <row r="13" spans="1:6">
      <c r="A13" s="10" t="s">
        <v>8</v>
      </c>
      <c r="B13" s="5">
        <f>BinomialTreeCRROptionPrice(B2,B3,B4,B5,B6,B7,B11,B8)</f>
        <v>6.7734166518215906</v>
      </c>
      <c r="C13" s="18">
        <f>BinomialTreeCRROptionPrice(B2,B3,B4,B5,B6,B7,C11,B8)</f>
        <v>5.5389122532382196</v>
      </c>
      <c r="F13" s="1"/>
    </row>
    <row r="14" spans="1:6">
      <c r="A14" s="11" t="s">
        <v>7</v>
      </c>
      <c r="B14" s="7">
        <f>TrinomialLatticeOptionPrice(B2,B3,B4,B5,B6,B7,B11,B8)</f>
        <v>7.1467788342260476</v>
      </c>
      <c r="C14" s="19">
        <f>TrinomialLatticeOptionPrice(B2,B3,B4,B5,B6,B7,C11,B8)</f>
        <v>5.9122744356426855</v>
      </c>
      <c r="F14" s="1"/>
    </row>
    <row r="15" spans="1:6">
      <c r="F15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interactive-ws</dc:creator>
  <cp:lastModifiedBy>interactive-ws</cp:lastModifiedBy>
  <dcterms:created xsi:type="dcterms:W3CDTF">2015-01-18T18:22:12Z</dcterms:created>
  <dcterms:modified xsi:type="dcterms:W3CDTF">2015-04-20T23:37:37Z</dcterms:modified>
</cp:coreProperties>
</file>